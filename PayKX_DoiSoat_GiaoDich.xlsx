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Soat_GiaoDich" sheetId="1" state="visible" r:id="rId1"/>
    <sheet xmlns:r="http://schemas.openxmlformats.org/officeDocument/2006/relationships" name="DanhMuc_NguoiDung" sheetId="2" state="visible" r:id="rId2"/>
    <sheet xmlns:r="http://schemas.openxmlformats.org/officeDocument/2006/relationships" name="BaoCao_DongT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Biến động Dòng tiền PayKX (Triệu VNĐ)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'BaoCao_DongTien'!B1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'BaoCao_DongTien'!$A$2:$A$7</f>
            </numRef>
          </cat>
          <val>
            <numRef>
              <f>'BaoCao_DongTien'!$B$2:$B$7</f>
            </numRef>
          </val>
        </ser>
        <ser>
          <idx val="1"/>
          <order val="1"/>
          <tx>
            <strRef>
              <f>'BaoCao_DongTien'!C1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'BaoCao_DongTien'!$A$2:$A$7</f>
            </numRef>
          </cat>
          <val>
            <numRef>
              <f>'BaoCao_DongTien'!$C$2:$C$7</f>
            </numRef>
          </val>
        </ser>
        <ser>
          <idx val="2"/>
          <order val="2"/>
          <tx>
            <strRef>
              <f>'BaoCao_DongTien'!D1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'BaoCao_DongTien'!$A$2:$A$7</f>
            </numRef>
          </cat>
          <val>
            <numRef>
              <f>'BaoCao_DongTien'!$D$2:$D$7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Triệu VNĐ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Ma_GD_Tho</t>
        </is>
      </c>
      <c r="B1" s="1" t="inlineStr">
        <is>
          <t>Ma_GD_Chuan</t>
        </is>
      </c>
      <c r="C1" s="1" t="inlineStr">
        <is>
          <t>Ten_Nguoi_Dung</t>
        </is>
      </c>
      <c r="D1" s="1" t="inlineStr">
        <is>
          <t>Dich_Vu</t>
        </is>
      </c>
      <c r="E1" s="1" t="inlineStr">
        <is>
          <t>So_Tien_GD_VND</t>
        </is>
      </c>
      <c r="F1" s="1" t="inlineStr">
        <is>
          <t>Phi_Ngan_Hang_VND</t>
        </is>
      </c>
      <c r="G1" s="1" t="inlineStr">
        <is>
          <t>Tien_Hoan_Cashback_VND</t>
        </is>
      </c>
      <c r="H1" s="1" t="inlineStr">
        <is>
          <t>Trang_Thai</t>
        </is>
      </c>
    </row>
    <row r="2">
      <c r="A2" s="2" t="inlineStr">
        <is>
          <t xml:space="preserve">  TXN001 </t>
        </is>
      </c>
      <c r="B2" s="2">
        <f>TRIM(A2)</f>
        <v/>
      </c>
      <c r="C2" s="2">
        <f>VLOOKUP(B2, DanhMuc_NguoiDung!$A$2:$C$11, 2, FALSE)</f>
        <v/>
      </c>
      <c r="D2" s="2" t="inlineStr">
        <is>
          <t>Nạp điện thoại</t>
        </is>
      </c>
      <c r="E2" s="3" t="n">
        <v>100000</v>
      </c>
      <c r="F2" s="3" t="n">
        <v>1100</v>
      </c>
      <c r="G2" s="3" t="n">
        <v>15000</v>
      </c>
      <c r="H2" s="2" t="inlineStr">
        <is>
          <t>Thành công</t>
        </is>
      </c>
    </row>
    <row r="3">
      <c r="A3" s="4" t="inlineStr">
        <is>
          <t xml:space="preserve">TXN002   </t>
        </is>
      </c>
      <c r="B3" s="4">
        <f>TRIM(A3)</f>
        <v/>
      </c>
      <c r="C3" s="4">
        <f>VLOOKUP(B3, DanhMuc_NguoiDung!$A$2:$C$11, 2, FALSE)</f>
        <v/>
      </c>
      <c r="D3" s="4" t="inlineStr">
        <is>
          <t>Thanh toán học phí</t>
        </is>
      </c>
      <c r="E3" s="5" t="n">
        <v>2500000</v>
      </c>
      <c r="F3" s="5" t="n">
        <v>12500</v>
      </c>
      <c r="G3" s="5" t="n">
        <v>25000</v>
      </c>
      <c r="H3" s="4" t="inlineStr">
        <is>
          <t>Thành công</t>
        </is>
      </c>
    </row>
    <row r="4">
      <c r="A4" s="2" t="inlineStr">
        <is>
          <t xml:space="preserve"> TXN003</t>
        </is>
      </c>
      <c r="B4" s="2">
        <f>TRIM(A4)</f>
        <v/>
      </c>
      <c r="C4" s="2">
        <f>VLOOKUP(B4, DanhMuc_NguoiDung!$A$2:$C$11, 2, FALSE)</f>
        <v/>
      </c>
      <c r="D4" s="2" t="inlineStr">
        <is>
          <t>Nạp điện thoại</t>
        </is>
      </c>
      <c r="E4" s="3" t="n">
        <v>50000</v>
      </c>
      <c r="F4" s="3" t="n">
        <v>550</v>
      </c>
      <c r="G4" s="3" t="n">
        <v>7500</v>
      </c>
      <c r="H4" s="2" t="inlineStr">
        <is>
          <t>Thành công</t>
        </is>
      </c>
    </row>
    <row r="5">
      <c r="A5" s="4" t="inlineStr">
        <is>
          <t>TXN004</t>
        </is>
      </c>
      <c r="B5" s="4">
        <f>TRIM(A5)</f>
        <v/>
      </c>
      <c r="C5" s="4">
        <f>VLOOKUP(B5, DanhMuc_NguoiDung!$A$2:$C$11, 2, FALSE)</f>
        <v/>
      </c>
      <c r="D5" s="4" t="inlineStr">
        <is>
          <t>Mua vé xe buýt</t>
        </is>
      </c>
      <c r="E5" s="5" t="n">
        <v>150000</v>
      </c>
      <c r="F5" s="5" t="n">
        <v>1650</v>
      </c>
      <c r="G5" s="5" t="n">
        <v>7500</v>
      </c>
      <c r="H5" s="4" t="inlineStr">
        <is>
          <t>Thành công</t>
        </is>
      </c>
    </row>
    <row r="6">
      <c r="A6" s="2" t="inlineStr">
        <is>
          <t xml:space="preserve">  TXN005  </t>
        </is>
      </c>
      <c r="B6" s="2">
        <f>TRIM(A6)</f>
        <v/>
      </c>
      <c r="C6" s="2">
        <f>VLOOKUP(B6, DanhMuc_NguoiDung!$A$2:$C$11, 2, FALSE)</f>
        <v/>
      </c>
      <c r="D6" s="2" t="inlineStr">
        <is>
          <t>Nạp điện thoại</t>
        </is>
      </c>
      <c r="E6" s="3" t="n">
        <v>200000</v>
      </c>
      <c r="F6" s="3" t="n">
        <v>2200</v>
      </c>
      <c r="G6" s="3" t="n">
        <v>15000</v>
      </c>
      <c r="H6" s="2" t="inlineStr">
        <is>
          <t>Thành công</t>
        </is>
      </c>
    </row>
    <row r="7">
      <c r="A7" s="4" t="inlineStr">
        <is>
          <t xml:space="preserve">TXN006 </t>
        </is>
      </c>
      <c r="B7" s="4">
        <f>TRIM(A7)</f>
        <v/>
      </c>
      <c r="C7" s="4">
        <f>VLOOKUP(B7, DanhMuc_NguoiDung!$A$2:$C$11, 2, FALSE)</f>
        <v/>
      </c>
      <c r="D7" s="4" t="inlineStr">
        <is>
          <t>Thanh toán Căng-tin</t>
        </is>
      </c>
      <c r="E7" s="5" t="n">
        <v>45000</v>
      </c>
      <c r="F7" s="5" t="n">
        <v>495</v>
      </c>
      <c r="G7" s="5" t="n">
        <v>2250</v>
      </c>
      <c r="H7" s="4" t="inlineStr">
        <is>
          <t>Thành công</t>
        </is>
      </c>
    </row>
    <row r="8">
      <c r="A8" s="2" t="inlineStr">
        <is>
          <t xml:space="preserve"> TXN007 </t>
        </is>
      </c>
      <c r="B8" s="2">
        <f>TRIM(A8)</f>
        <v/>
      </c>
      <c r="C8" s="2">
        <f>VLOOKUP(B8, DanhMuc_NguoiDung!$A$2:$C$11, 2, FALSE)</f>
        <v/>
      </c>
      <c r="D8" s="2" t="inlineStr">
        <is>
          <t>Nạp điện thoại</t>
        </is>
      </c>
      <c r="E8" s="3" t="n">
        <v>100000</v>
      </c>
      <c r="F8" s="3" t="n">
        <v>1100</v>
      </c>
      <c r="G8" s="3" t="n">
        <v>15000</v>
      </c>
      <c r="H8" s="2" t="inlineStr">
        <is>
          <t>Thành công</t>
        </is>
      </c>
    </row>
    <row r="9">
      <c r="A9" s="4" t="inlineStr">
        <is>
          <t>TXN008</t>
        </is>
      </c>
      <c r="B9" s="4">
        <f>TRIM(A9)</f>
        <v/>
      </c>
      <c r="C9" s="4">
        <f>VLOOKUP(B9, DanhMuc_NguoiDung!$A$2:$C$11, 2, FALSE)</f>
        <v/>
      </c>
      <c r="D9" s="4" t="inlineStr">
        <is>
          <t>Thanh toán học phí</t>
        </is>
      </c>
      <c r="E9" s="5" t="n">
        <v>3000000</v>
      </c>
      <c r="F9" s="5" t="n">
        <v>15000</v>
      </c>
      <c r="G9" s="5" t="n">
        <v>30000</v>
      </c>
      <c r="H9" s="4" t="inlineStr">
        <is>
          <t>Thành công</t>
        </is>
      </c>
    </row>
    <row r="10">
      <c r="A10" s="2" t="inlineStr">
        <is>
          <t xml:space="preserve">  TXN009</t>
        </is>
      </c>
      <c r="B10" s="2">
        <f>TRIM(A10)</f>
        <v/>
      </c>
      <c r="C10" s="2">
        <f>VLOOKUP(B10, DanhMuc_NguoiDung!$A$2:$C$11, 2, FALSE)</f>
        <v/>
      </c>
      <c r="D10" s="2" t="inlineStr">
        <is>
          <t>Nạp điện thoại</t>
        </is>
      </c>
      <c r="E10" s="3" t="n">
        <v>50000</v>
      </c>
      <c r="F10" s="3" t="n">
        <v>550</v>
      </c>
      <c r="G10" s="3" t="n">
        <v>7500</v>
      </c>
      <c r="H10" s="2" t="inlineStr">
        <is>
          <t>Thành công</t>
        </is>
      </c>
    </row>
    <row r="11">
      <c r="A11" s="4" t="inlineStr">
        <is>
          <t xml:space="preserve">TXN010   </t>
        </is>
      </c>
      <c r="B11" s="4">
        <f>TRIM(A11)</f>
        <v/>
      </c>
      <c r="C11" s="4">
        <f>VLOOKUP(B11, DanhMuc_NguoiDung!$A$2:$C$11, 2, FALSE)</f>
        <v/>
      </c>
      <c r="D11" s="4" t="inlineStr">
        <is>
          <t>Thanh toán Căng-tin</t>
        </is>
      </c>
      <c r="E11" s="5" t="n">
        <v>60000</v>
      </c>
      <c r="F11" s="5" t="n">
        <v>660</v>
      </c>
      <c r="G11" s="5" t="n">
        <v>3000</v>
      </c>
      <c r="H11" s="4" t="inlineStr">
        <is>
          <t>Thành công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Ma_GD</t>
        </is>
      </c>
      <c r="B1" s="1" t="inlineStr">
        <is>
          <t>Ten_Nguoi_Dung</t>
        </is>
      </c>
      <c r="C1" s="1" t="inlineStr">
        <is>
          <t>Truong_Dai_Hoc</t>
        </is>
      </c>
    </row>
    <row r="2">
      <c r="A2" s="2" t="inlineStr">
        <is>
          <t>TXN001</t>
        </is>
      </c>
      <c r="B2" s="2" t="inlineStr">
        <is>
          <t>Nguyễn Văn An</t>
        </is>
      </c>
      <c r="C2" s="2" t="inlineStr">
        <is>
          <t>ĐH Bách Khoa</t>
        </is>
      </c>
    </row>
    <row r="3">
      <c r="A3" s="4" t="inlineStr">
        <is>
          <t>TXN002</t>
        </is>
      </c>
      <c r="B3" s="4" t="inlineStr">
        <is>
          <t>Trần Thị Bích</t>
        </is>
      </c>
      <c r="C3" s="4" t="inlineStr">
        <is>
          <t>ĐH Kinh Tế</t>
        </is>
      </c>
    </row>
    <row r="4">
      <c r="A4" s="2" t="inlineStr">
        <is>
          <t>TXN003</t>
        </is>
      </c>
      <c r="B4" s="2" t="inlineStr">
        <is>
          <t>Lê Hoàng Nam</t>
        </is>
      </c>
      <c r="C4" s="2" t="inlineStr">
        <is>
          <t>ĐH Công Nghệ Thông Tin</t>
        </is>
      </c>
    </row>
    <row r="5">
      <c r="A5" s="4" t="inlineStr">
        <is>
          <t>TXN004</t>
        </is>
      </c>
      <c r="B5" s="4" t="inlineStr">
        <is>
          <t>Phạm Minh Tuấn</t>
        </is>
      </c>
      <c r="C5" s="4" t="inlineStr">
        <is>
          <t>ĐH Khoa Học Tự Nhiên</t>
        </is>
      </c>
    </row>
    <row r="6">
      <c r="A6" s="2" t="inlineStr">
        <is>
          <t>TXN005</t>
        </is>
      </c>
      <c r="B6" s="2" t="inlineStr">
        <is>
          <t>Hoàng Thu Trang</t>
        </is>
      </c>
      <c r="C6" s="2" t="inlineStr">
        <is>
          <t>ĐH Ngoại Thương</t>
        </is>
      </c>
    </row>
    <row r="7">
      <c r="A7" s="4" t="inlineStr">
        <is>
          <t>TXN006</t>
        </is>
      </c>
      <c r="B7" s="4" t="inlineStr">
        <is>
          <t>Đặng Quốc Khánh</t>
        </is>
      </c>
      <c r="C7" s="4" t="inlineStr">
        <is>
          <t>ĐH Sư Phạm Kỹ Thuật</t>
        </is>
      </c>
    </row>
    <row r="8">
      <c r="A8" s="2" t="inlineStr">
        <is>
          <t>TXN007</t>
        </is>
      </c>
      <c r="B8" s="2" t="inlineStr">
        <is>
          <t>Vũ Thị Ngọc Ánh</t>
        </is>
      </c>
      <c r="C8" s="2" t="inlineStr">
        <is>
          <t>ĐH Ngân Hàng</t>
        </is>
      </c>
    </row>
    <row r="9">
      <c r="A9" s="4" t="inlineStr">
        <is>
          <t>TXN008</t>
        </is>
      </c>
      <c r="B9" s="4" t="inlineStr">
        <is>
          <t>Bùi Đức Duy</t>
        </is>
      </c>
      <c r="C9" s="4" t="inlineStr">
        <is>
          <t>ĐH Tài Chính Marketing</t>
        </is>
      </c>
    </row>
    <row r="10">
      <c r="A10" s="2" t="inlineStr">
        <is>
          <t>TXN009</t>
        </is>
      </c>
      <c r="B10" s="2" t="inlineStr">
        <is>
          <t>Ngô Phương Linh</t>
        </is>
      </c>
      <c r="C10" s="2" t="inlineStr">
        <is>
          <t>ĐH Y Dược</t>
        </is>
      </c>
    </row>
    <row r="11">
      <c r="A11" s="4" t="inlineStr">
        <is>
          <t>TXN010</t>
        </is>
      </c>
      <c r="B11" s="4" t="inlineStr">
        <is>
          <t>Đỗ Gia Huy</t>
        </is>
      </c>
      <c r="C11" s="4" t="inlineStr">
        <is>
          <t>ĐH Kiến Trúc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Thang</t>
        </is>
      </c>
      <c r="B1" s="1" t="inlineStr">
        <is>
          <t>Doanh_Thu_Triu_VND</t>
        </is>
      </c>
      <c r="C1" s="1" t="inlineStr">
        <is>
          <t>Chi_Phi_Hoan_Tien_Triu_VND</t>
        </is>
      </c>
      <c r="D1" s="1" t="inlineStr">
        <is>
          <t>Loi_Nhuan_Rong_Triu_VND</t>
        </is>
      </c>
    </row>
    <row r="2">
      <c r="A2" s="2" t="inlineStr">
        <is>
          <t>Tháng 05</t>
        </is>
      </c>
      <c r="B2" s="3" t="n">
        <v>320</v>
      </c>
      <c r="C2" s="3" t="n">
        <v>180</v>
      </c>
      <c r="D2" s="3" t="n">
        <v>140</v>
      </c>
    </row>
    <row r="3">
      <c r="A3" s="4" t="inlineStr">
        <is>
          <t>Tháng 06</t>
        </is>
      </c>
      <c r="B3" s="5" t="n">
        <v>350</v>
      </c>
      <c r="C3" s="5" t="n">
        <v>195</v>
      </c>
      <c r="D3" s="5" t="n">
        <v>155</v>
      </c>
    </row>
    <row r="4">
      <c r="A4" s="2" t="inlineStr">
        <is>
          <t>Tháng 07</t>
        </is>
      </c>
      <c r="B4" s="3" t="n">
        <v>340</v>
      </c>
      <c r="C4" s="3" t="n">
        <v>190</v>
      </c>
      <c r="D4" s="3" t="n">
        <v>150</v>
      </c>
    </row>
    <row r="5">
      <c r="A5" s="4" t="inlineStr">
        <is>
          <t>Tháng 08</t>
        </is>
      </c>
      <c r="B5" s="5" t="n">
        <v>410</v>
      </c>
      <c r="C5" s="5" t="n">
        <v>220</v>
      </c>
      <c r="D5" s="5" t="n">
        <v>190</v>
      </c>
    </row>
    <row r="6">
      <c r="A6" s="2" t="inlineStr">
        <is>
          <t>Tháng 09</t>
        </is>
      </c>
      <c r="B6" s="3" t="n">
        <v>480</v>
      </c>
      <c r="C6" s="3" t="n">
        <v>250</v>
      </c>
      <c r="D6" s="3" t="n">
        <v>230</v>
      </c>
    </row>
    <row r="7">
      <c r="A7" s="4" t="inlineStr">
        <is>
          <t>Tháng 10</t>
        </is>
      </c>
      <c r="B7" s="5" t="n">
        <v>552</v>
      </c>
      <c r="C7" s="5" t="n">
        <v>275</v>
      </c>
      <c r="D7" s="5" t="n">
        <v>277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2026-10-26T14:33:33Z</dcterms:created>
  <dcterms:modified xmlns:dcterms="http://purl.org/dc/terms/" xmlns:xsi="http://www.w3.org/2001/XMLSchema-instance" xsi:type="dcterms:W3CDTF">2026-10-26T14:33:33Z</dcterms:modified>
</cp:coreProperties>
</file>